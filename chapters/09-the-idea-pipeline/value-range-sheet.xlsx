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r stock" sheetId="1" state="visible" r:id="rId1"/>
    <sheet name="Company X (examp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#,##0.0"/>
    <numFmt numFmtId="167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6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34" customWidth="1" min="5" max="5"/>
    <col width="70" customWidth="1" min="6" max="6"/>
  </cols>
  <sheetData>
    <row r="1">
      <c r="A1" s="1" t="inlineStr">
        <is>
          <t>VALUE-RANGE SHEET · [TICKER]</t>
        </is>
      </c>
      <c r="B1" s="1" t="inlineStr">
        <is>
          <t>LOW</t>
        </is>
      </c>
      <c r="C1" s="1" t="inlineStr">
        <is>
          <t>BASE</t>
        </is>
      </c>
      <c r="D1" s="1" t="inlineStr">
        <is>
          <t>HIGH</t>
        </is>
      </c>
      <c r="E1" s="1" t="inlineStr">
        <is>
          <t>INPUTS (tagged, from the clerk)</t>
        </is>
      </c>
      <c r="F1" s="1" t="inlineStr">
        <is>
          <t>Your assumptions, your decision. Not investment advice: see DISCLAIMER.md.</t>
        </is>
      </c>
    </row>
    <row r="2">
      <c r="A2" t="inlineStr">
        <is>
          <t>TTM revenue ($M) = FY + YTD - prior YTD</t>
        </is>
      </c>
      <c r="B2" s="2" t="n"/>
      <c r="E2" t="inlineStr">
        <is>
          <t>[3 tags]</t>
        </is>
      </c>
    </row>
    <row r="3">
      <c r="A3" t="inlineStr">
        <is>
          <t>TTM net income ($M) = same build</t>
        </is>
      </c>
      <c r="B3" s="2" t="n"/>
      <c r="E3" t="inlineStr">
        <is>
          <t>[3 tags]</t>
        </is>
      </c>
    </row>
    <row r="4">
      <c r="A4" t="inlineStr">
        <is>
          <t>Shares outstanding (M)</t>
        </is>
      </c>
      <c r="B4" s="2" t="n"/>
      <c r="E4" t="inlineStr">
        <is>
          <t>[tag, as of date]</t>
        </is>
      </c>
    </row>
    <row r="5">
      <c r="A5" t="inlineStr">
        <is>
          <t>Net cash ($M) = cash + securities - debt</t>
        </is>
      </c>
      <c r="B5" s="2" t="n"/>
      <c r="E5" t="inlineStr">
        <is>
          <t>[tags]</t>
        </is>
      </c>
    </row>
    <row r="7">
      <c r="A7" s="1" t="inlineStr">
        <is>
          <t>YOUR ASSUMPTIONS</t>
        </is>
      </c>
    </row>
    <row r="8">
      <c r="A8" t="inlineStr">
        <is>
          <t>Revenue growth per year, next 3 years</t>
        </is>
      </c>
      <c r="B8" s="3" t="n"/>
      <c r="C8" s="3" t="n"/>
      <c r="D8" s="3" t="n"/>
    </row>
    <row r="9">
      <c r="A9" t="inlineStr">
        <is>
          <t>Net margin in year 3</t>
        </is>
      </c>
      <c r="B9" s="3" t="n"/>
      <c r="C9" s="3" t="n"/>
      <c r="D9" s="3" t="n"/>
    </row>
    <row r="10">
      <c r="A10" t="inlineStr">
        <is>
          <t>P/E you'd pay in year 3</t>
        </is>
      </c>
      <c r="B10" s="4" t="n"/>
      <c r="C10" s="4" t="n"/>
      <c r="D10" s="4" t="n"/>
    </row>
    <row r="11">
      <c r="A11" t="inlineStr">
        <is>
          <t>Return you require per year</t>
        </is>
      </c>
      <c r="B11" s="3" t="n"/>
      <c r="C11" s="3" t="n"/>
      <c r="D11" s="3" t="n"/>
    </row>
    <row r="13">
      <c r="A13" s="1" t="inlineStr">
        <is>
          <t>FORMULAS (the sheet, never the model)</t>
        </is>
      </c>
    </row>
    <row r="14">
      <c r="A14" t="inlineStr">
        <is>
          <t>Year-3 revenue</t>
        </is>
      </c>
      <c r="B14" s="5">
        <f>$B$2*(1+B8)^3</f>
        <v/>
      </c>
      <c r="C14" s="5">
        <f>$B$2*(1+C8)^3</f>
        <v/>
      </c>
      <c r="D14" s="5">
        <f>$B$2*(1+D8)^3</f>
        <v/>
      </c>
    </row>
    <row r="15">
      <c r="A15" t="inlineStr">
        <is>
          <t>Year-3 earnings</t>
        </is>
      </c>
      <c r="B15" s="5">
        <f>B14*B9</f>
        <v/>
      </c>
      <c r="C15" s="5">
        <f>C14*C9</f>
        <v/>
      </c>
      <c r="D15" s="5">
        <f>D14*D9</f>
        <v/>
      </c>
    </row>
    <row r="16">
      <c r="A16" t="inlineStr">
        <is>
          <t>Year-3 equity value</t>
        </is>
      </c>
      <c r="B16" s="5">
        <f>B15*B10+$B$5</f>
        <v/>
      </c>
      <c r="C16" s="5">
        <f>C15*C10+$B$5</f>
        <v/>
      </c>
      <c r="D16" s="5">
        <f>D15*D10+$B$5</f>
        <v/>
      </c>
    </row>
    <row r="17">
      <c r="A17" t="inlineStr">
        <is>
          <t>Value per share today</t>
        </is>
      </c>
      <c r="B17" s="6">
        <f>B16/$B$4/(1+B11)^3</f>
        <v/>
      </c>
      <c r="C17" s="6">
        <f>C16/$B$4/(1+C11)^3</f>
        <v/>
      </c>
      <c r="D17" s="6">
        <f>D16/$B$4/(1+D11)^3</f>
        <v/>
      </c>
    </row>
    <row r="18">
      <c r="A18" s="1" t="inlineStr">
        <is>
          <t>BUY ZONE</t>
        </is>
      </c>
    </row>
    <row r="19">
      <c r="A19" t="inlineStr">
        <is>
          <t>At or below</t>
        </is>
      </c>
      <c r="C19" s="7">
        <f>0.75*C17</f>
        <v/>
      </c>
      <c r="E19" t="inlineStr">
        <is>
          <t>The 25% is my choice, not a law. Pick your own cushion and write it on the card.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34" customWidth="1" min="5" max="5"/>
    <col width="70" customWidth="1" min="6" max="6"/>
  </cols>
  <sheetData>
    <row r="1">
      <c r="A1" s="1" t="inlineStr">
        <is>
          <t>COMPANY X (hypothetical)</t>
        </is>
      </c>
      <c r="B1" s="1" t="inlineStr">
        <is>
          <t>LOW</t>
        </is>
      </c>
      <c r="C1" s="1" t="inlineStr">
        <is>
          <t>BASE</t>
        </is>
      </c>
      <c r="D1" s="1" t="inlineStr">
        <is>
          <t>HIGH</t>
        </is>
      </c>
      <c r="E1" s="1" t="inlineStr">
        <is>
          <t>INPUTS (tagged, from the clerk)</t>
        </is>
      </c>
      <c r="F1" s="1" t="inlineStr">
        <is>
          <t>It's invented, on purpose, so nobody mistakes it for a stock idea</t>
        </is>
      </c>
    </row>
    <row r="2">
      <c r="A2" t="inlineStr">
        <is>
          <t>TTM revenue ($M) = FY + YTD - prior YTD</t>
        </is>
      </c>
      <c r="B2" s="5" t="n">
        <v>400</v>
      </c>
    </row>
    <row r="3">
      <c r="A3" t="inlineStr">
        <is>
          <t>TTM net income ($M) = same build</t>
        </is>
      </c>
      <c r="B3" s="5" t="n">
        <v>24</v>
      </c>
    </row>
    <row r="4">
      <c r="A4" t="inlineStr">
        <is>
          <t>Shares outstanding (M)</t>
        </is>
      </c>
      <c r="B4" s="5" t="n">
        <v>50</v>
      </c>
    </row>
    <row r="5">
      <c r="A5" t="inlineStr">
        <is>
          <t>Net cash ($M) = cash + securities - debt</t>
        </is>
      </c>
      <c r="B5" s="5" t="n">
        <v>60</v>
      </c>
    </row>
    <row r="7">
      <c r="A7" s="1" t="inlineStr">
        <is>
          <t>YOUR ASSUMPTIONS</t>
        </is>
      </c>
    </row>
    <row r="8">
      <c r="A8" t="inlineStr">
        <is>
          <t>Revenue growth per year, next 3 years</t>
        </is>
      </c>
      <c r="B8" s="8" t="n">
        <v>0.08</v>
      </c>
      <c r="C8" s="8" t="n">
        <v>0.15</v>
      </c>
      <c r="D8" s="8" t="n">
        <v>0.22</v>
      </c>
    </row>
    <row r="9">
      <c r="A9" t="inlineStr">
        <is>
          <t>Net margin in year 3</t>
        </is>
      </c>
      <c r="B9" s="8" t="n">
        <v>0.06</v>
      </c>
      <c r="C9" s="8" t="n">
        <v>0.09</v>
      </c>
      <c r="D9" s="8" t="n">
        <v>0.12</v>
      </c>
    </row>
    <row r="10">
      <c r="A10" t="inlineStr">
        <is>
          <t>P/E you'd pay in year 3</t>
        </is>
      </c>
      <c r="B10" s="9" t="n">
        <v>14</v>
      </c>
      <c r="C10" s="9" t="n">
        <v>18</v>
      </c>
      <c r="D10" s="9" t="n">
        <v>22</v>
      </c>
    </row>
    <row r="11">
      <c r="A11" t="inlineStr">
        <is>
          <t>Return you require per year</t>
        </is>
      </c>
      <c r="B11" s="8" t="n">
        <v>0.1</v>
      </c>
      <c r="C11" s="8" t="n">
        <v>0.1</v>
      </c>
      <c r="D11" s="8" t="n">
        <v>0.1</v>
      </c>
    </row>
    <row r="13">
      <c r="A13" s="1" t="inlineStr">
        <is>
          <t>FORMULAS (the sheet, never the model)</t>
        </is>
      </c>
    </row>
    <row r="14">
      <c r="A14" t="inlineStr">
        <is>
          <t>Year-3 revenue</t>
        </is>
      </c>
      <c r="B14" s="5">
        <f>$B$2*(1+B8)^3</f>
        <v/>
      </c>
      <c r="C14" s="5">
        <f>$B$2*(1+C8)^3</f>
        <v/>
      </c>
      <c r="D14" s="5">
        <f>$B$2*(1+D8)^3</f>
        <v/>
      </c>
    </row>
    <row r="15">
      <c r="A15" t="inlineStr">
        <is>
          <t>Year-3 earnings</t>
        </is>
      </c>
      <c r="B15" s="5">
        <f>B14*B9</f>
        <v/>
      </c>
      <c r="C15" s="5">
        <f>C14*C9</f>
        <v/>
      </c>
      <c r="D15" s="5">
        <f>D14*D9</f>
        <v/>
      </c>
    </row>
    <row r="16">
      <c r="A16" t="inlineStr">
        <is>
          <t>Year-3 equity value</t>
        </is>
      </c>
      <c r="B16" s="5">
        <f>B15*B10+$B$5</f>
        <v/>
      </c>
      <c r="C16" s="5">
        <f>C15*C10+$B$5</f>
        <v/>
      </c>
      <c r="D16" s="5">
        <f>D15*D10+$B$5</f>
        <v/>
      </c>
    </row>
    <row r="17">
      <c r="A17" t="inlineStr">
        <is>
          <t>Value per share today</t>
        </is>
      </c>
      <c r="B17" s="6">
        <f>B16/$B$4/(1+B11)^3</f>
        <v/>
      </c>
      <c r="C17" s="6">
        <f>C16/$B$4/(1+C11)^3</f>
        <v/>
      </c>
      <c r="D17" s="6">
        <f>D16/$B$4/(1+D11)^3</f>
        <v/>
      </c>
    </row>
    <row r="18">
      <c r="A18" s="1" t="inlineStr">
        <is>
          <t>BUY ZONE</t>
        </is>
      </c>
    </row>
    <row r="19">
      <c r="A19" t="inlineStr">
        <is>
          <t>At or below</t>
        </is>
      </c>
      <c r="C19" s="7">
        <f>0.75*C17</f>
        <v/>
      </c>
      <c r="E19" t="inlineStr">
        <is>
          <t>The 25% is my choice, not a law. Pick your own cushion and write it on the card.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youcanbuildthings.com</dc:creator>
  <dcterms:created xsi:type="dcterms:W3CDTF">2026-09-29T18:02:29Z</dcterms:created>
  <dcterms:modified xsi:type="dcterms:W3CDTF">2026-09-29T18:02:29Z</dcterms:modified>
  <cp:lastModifiedBy>youcanbuildthings.com</cp:lastModifiedBy>
</cp:coreProperties>
</file>